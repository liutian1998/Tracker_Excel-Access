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ian.a.liu\Desktop\"/>
    </mc:Choice>
  </mc:AlternateContent>
  <bookViews>
    <workbookView xWindow="0" yWindow="0" windowWidth="24000" windowHeight="9885"/>
  </bookViews>
  <sheets>
    <sheet name="DBConfig_Task" sheetId="1" r:id="rId1"/>
  </sheets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1" l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M6" i="1"/>
  <c r="F5" i="1"/>
  <c r="F4" i="1"/>
  <c r="B1" i="1"/>
</calcChain>
</file>

<file path=xl/sharedStrings.xml><?xml version="1.0" encoding="utf-8"?>
<sst xmlns="http://schemas.openxmlformats.org/spreadsheetml/2006/main" count="132" uniqueCount="73">
  <si>
    <t>DBPath</t>
  </si>
  <si>
    <t>ReadOnly</t>
  </si>
  <si>
    <t>T_TaskTracker</t>
  </si>
  <si>
    <t>Add_Task</t>
  </si>
  <si>
    <t>Modify_Task</t>
  </si>
  <si>
    <t>Assign_Case</t>
  </si>
  <si>
    <t>DBPassword</t>
  </si>
  <si>
    <t>Automation@123</t>
  </si>
  <si>
    <t>Modify</t>
  </si>
  <si>
    <t>Key</t>
  </si>
  <si>
    <t>字段名称</t>
  </si>
  <si>
    <t>内容</t>
  </si>
  <si>
    <t>列宽</t>
  </si>
  <si>
    <t>类型</t>
  </si>
  <si>
    <t>主键</t>
  </si>
  <si>
    <t>长度</t>
  </si>
  <si>
    <t>描述</t>
  </si>
  <si>
    <t>格式</t>
  </si>
  <si>
    <t>显示</t>
  </si>
  <si>
    <t>更新</t>
  </si>
  <si>
    <t>必填</t>
  </si>
  <si>
    <t>查询</t>
  </si>
  <si>
    <t>排序</t>
  </si>
  <si>
    <t>Required</t>
  </si>
  <si>
    <t>No.</t>
  </si>
  <si>
    <t>ID</t>
  </si>
  <si>
    <t>LONG</t>
  </si>
  <si>
    <t>J7</t>
  </si>
  <si>
    <t>D7</t>
  </si>
  <si>
    <t>Received_Date</t>
  </si>
  <si>
    <t>DATETIME</t>
  </si>
  <si>
    <t>J5</t>
  </si>
  <si>
    <t>1,DESC</t>
  </si>
  <si>
    <t>Deadline</t>
  </si>
  <si>
    <t>M5</t>
  </si>
  <si>
    <t>Case_Open_Days</t>
  </si>
  <si>
    <t>TEXT</t>
  </si>
  <si>
    <t>Webform_No.</t>
  </si>
  <si>
    <t>G5</t>
  </si>
  <si>
    <t>Company_Code</t>
  </si>
  <si>
    <t>|G7</t>
  </si>
  <si>
    <t>PSA</t>
  </si>
  <si>
    <t>|D7</t>
  </si>
  <si>
    <t>Requestor</t>
  </si>
  <si>
    <t>Request</t>
  </si>
  <si>
    <t>J6</t>
  </si>
  <si>
    <t>Group_Type</t>
  </si>
  <si>
    <t>$D5</t>
  </si>
  <si>
    <t>Process</t>
  </si>
  <si>
    <t>$M6</t>
  </si>
  <si>
    <t>Process_Type</t>
  </si>
  <si>
    <t>Sub_Process</t>
  </si>
  <si>
    <t>Assignment</t>
  </si>
  <si>
    <t>$D6</t>
  </si>
  <si>
    <t>Status</t>
  </si>
  <si>
    <t>|G6</t>
  </si>
  <si>
    <t>$G6</t>
  </si>
  <si>
    <t>Comments</t>
  </si>
  <si>
    <t>QTY_Processed</t>
  </si>
  <si>
    <t>QTY_TLL</t>
  </si>
  <si>
    <t>Real_QTY_Processed</t>
  </si>
  <si>
    <t>Real_QTY_TLL</t>
  </si>
  <si>
    <t>SQL</t>
  </si>
  <si>
    <t>QTY_Non-Processed</t>
  </si>
  <si>
    <t>QTY_Non</t>
  </si>
  <si>
    <t>Real_QTY_Non-Processed</t>
  </si>
  <si>
    <t>Real_QTY_Non</t>
  </si>
  <si>
    <t>Case_Owner1</t>
  </si>
  <si>
    <t>QTY_Assign1</t>
  </si>
  <si>
    <t>Case_Owner2</t>
  </si>
  <si>
    <t>QTY_Assign2</t>
  </si>
  <si>
    <t>Case_Owner3</t>
  </si>
  <si>
    <t>QTY_Assign3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</si>
</sst>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;@"/>
  </numFmts>
  <fonts count="3" x14ac:knownFonts="1"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8">
    <xf numFmtId="0" fontId="0" fillId="0" borderId="0" xfId="0"/>
    <xf numFmtId="0" fontId="1" fillId="2" borderId="1" xfId="1" applyNumberFormat="1" applyBorder="1"/>
    <xf numFmtId="0" fontId="0" fillId="0" borderId="0" xfId="0" applyNumberFormat="1"/>
    <xf numFmtId="49" fontId="2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2" xfId="1" applyNumberFormat="1" applyBorder="1" applyAlignment="1"/>
    <xf numFmtId="0" fontId="1" fillId="2" borderId="3" xfId="1" applyNumberFormat="1" applyBorder="1" applyAlignment="1"/>
    <xf numFmtId="0" fontId="1" fillId="2" borderId="4" xfId="1" applyNumberFormat="1" applyBorder="1" applyAlignment="1"/>
    <xf numFmtId="0" fontId="1" fillId="2" borderId="5" xfId="1" applyNumberFormat="1" applyBorder="1" applyAlignment="1"/>
    <xf numFmtId="0" fontId="1" fillId="2" borderId="6" xfId="1" applyNumberFormat="1" applyBorder="1" applyAlignment="1"/>
    <xf numFmtId="49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1" xfId="1" applyNumberFormat="1" applyBorder="1" applyAlignment="1">
      <alignment horizontal="center"/>
    </xf>
    <xf numFmtId="49" fontId="2" fillId="5" borderId="1" xfId="0" applyNumberFormat="1" applyFont="1" applyFill="1" applyBorder="1" applyAlignment="1" applyProtection="1">
      <alignment horizontal="center" vertical="center" wrapText="1"/>
      <protection locked="0"/>
    </xf>
    <xf numFmtId="1" fontId="0" fillId="0" borderId="1" xfId="0" applyNumberFormat="1" applyBorder="1"/>
    <xf numFmtId="164" fontId="0" fillId="0" borderId="1" xfId="0" applyNumberFormat="1" applyBorder="1"/>
    <xf numFmtId="0" fontId="0" fillId="0" borderId="0" xfId="0" applyNumberFormat="1" applyFill="1" applyBorder="1"/>
    <xf numFmtId="0" fontId="0" fillId="0" borderId="0" xfId="0" applyNumberFormat="1" applyAlignment="1"/>
    <xf numFmtId="49" fontId="0" fillId="0" borderId="1" xfId="0" applyNumberFormat="1" applyBorder="1"/>
    <xf numFmtId="0" fontId="0" fillId="0" borderId="0" xfId="0" applyNumberFormat="1" applyAlignment="1">
      <alignment horizontal="left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457200</xdr:colOff>
      <xdr:row>5</xdr:row>
      <xdr:rowOff>131669</xdr:rowOff>
    </xdr:to>
    <xdr:pic macro="[1]!GoHome"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0" y="552450"/>
          <a:ext cx="457200" cy="4555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123265</xdr:rowOff>
    </xdr:from>
    <xdr:to>
      <xdr:col>0</xdr:col>
      <xdr:colOff>453656</xdr:colOff>
      <xdr:row>13</xdr:row>
      <xdr:rowOff>73959</xdr:rowOff>
    </xdr:to>
    <xdr:pic macro="[1]!shtDBConfigTask.RefreshTaskTrackerFormat"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1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8240"/>
          <a:ext cx="453656" cy="4555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134471</xdr:rowOff>
    </xdr:from>
    <xdr:to>
      <xdr:col>0</xdr:col>
      <xdr:colOff>457200</xdr:colOff>
      <xdr:row>9</xdr:row>
      <xdr:rowOff>109818</xdr:rowOff>
    </xdr:to>
    <xdr:pic macro="[1]!GotoConfig"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2696"/>
          <a:ext cx="457200" cy="4706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iuTian\WorkSpace\Automation\2017\Panda\ES\Tools\Panda_ES_PA_Minibots\Tools\Panda_ES_PA_GroupB_Tracker_Minibots_V0.1.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n"/>
      <sheetName val="Main"/>
      <sheetName val="Process"/>
      <sheetName val="Config"/>
      <sheetName val="BasicConfig"/>
      <sheetName val="MatrixConfig"/>
      <sheetName val="Reference"/>
      <sheetName val="Add_Task"/>
      <sheetName val="Modify_Task"/>
      <sheetName val="Assign_Case"/>
      <sheetName val="Separation"/>
      <sheetName val="Transfer"/>
      <sheetName val="OM"/>
      <sheetName val="ProbationMonitoring"/>
      <sheetName val="ContractMonitoring"/>
      <sheetName val="Training"/>
      <sheetName val="Reporting"/>
      <sheetName val="EDC"/>
      <sheetName val="Newhire"/>
      <sheetName val="Others"/>
      <sheetName val="LeaveQuota"/>
      <sheetName val="Certificate"/>
      <sheetName val="QC_Case"/>
      <sheetName val="DBConfig_SystemData"/>
      <sheetName val="DBConfig_Task"/>
      <sheetName val="DBConfig_Case"/>
    </sheetNames>
    <definedNames>
      <definedName name="GoHome"/>
      <definedName name="GotoConfig"/>
      <definedName name="shtDBConfigTask.RefreshTaskTrackerFormat"/>
    </definedNames>
    <sheetDataSet>
      <sheetData sheetId="0"/>
      <sheetData sheetId="1"/>
      <sheetData sheetId="2"/>
      <sheetData sheetId="3"/>
      <sheetData sheetId="4">
        <row r="1">
          <cell r="B1" t="str">
            <v>D:\LiuTian\WorkSpace\Automation\2017\Panda\ES\Tools\Panda_ES_PA_Minibots\Tools\Database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1">
          <cell r="B1" t="str">
            <v>D:\LiuTian\WorkSpace\Automation\2017\Panda\ES\Tools\Panda_ES_PA_Minibots\Tools\Database\PANDA_ES_PA_GROUPB.accdb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BConfigTask"/>
  <dimension ref="A1:AK31"/>
  <sheetViews>
    <sheetView tabSelected="1" zoomScale="85" zoomScaleNormal="85" workbookViewId="0">
      <selection activeCell="G10" sqref="G10"/>
    </sheetView>
  </sheetViews>
  <sheetFormatPr defaultColWidth="5.7109375" defaultRowHeight="13.5" customHeight="1" x14ac:dyDescent="0.2"/>
  <cols>
    <col min="1" max="1" width="9.85546875" style="2" bestFit="1" customWidth="1"/>
    <col min="2" max="2" width="8.7109375" style="2" customWidth="1"/>
    <col min="3" max="3" width="10.28515625" style="2" bestFit="1" customWidth="1"/>
    <col min="4" max="4" width="6.85546875" style="2" customWidth="1"/>
    <col min="5" max="5" width="15" style="2" customWidth="1"/>
    <col min="6" max="6" width="14.85546875" style="2" customWidth="1"/>
    <col min="7" max="7" width="15.42578125" style="2" customWidth="1"/>
    <col min="8" max="8" width="5.28515625" style="2" customWidth="1"/>
    <col min="9" max="9" width="6.85546875" style="2" customWidth="1"/>
    <col min="10" max="11" width="5.28515625" style="2" customWidth="1"/>
    <col min="12" max="12" width="9.28515625" style="2" customWidth="1"/>
    <col min="13" max="13" width="6.140625" style="2" bestFit="1" customWidth="1"/>
    <col min="14" max="16" width="5.28515625" style="2" bestFit="1" customWidth="1"/>
    <col min="17" max="17" width="5.28515625" style="2" customWidth="1"/>
    <col min="18" max="18" width="5.28515625" style="2" bestFit="1" customWidth="1"/>
    <col min="19" max="19" width="5.28515625" style="2" customWidth="1"/>
    <col min="20" max="21" width="5.28515625" style="2" bestFit="1" customWidth="1"/>
    <col min="22" max="22" width="5.140625" style="2" customWidth="1"/>
    <col min="23" max="23" width="7.7109375" style="2" bestFit="1" customWidth="1"/>
    <col min="24" max="27" width="5.7109375" style="2"/>
    <col min="28" max="28" width="7.7109375" style="2" bestFit="1" customWidth="1"/>
    <col min="29" max="16384" width="5.7109375" style="2"/>
  </cols>
  <sheetData>
    <row r="1" spans="1:28" ht="15" x14ac:dyDescent="0.25">
      <c r="A1" s="1" t="s">
        <v>0</v>
      </c>
      <c r="B1" s="2" t="str">
        <f>[1]BasicConfig!B$1&amp;"\Panda_ES_Task.accdb"</f>
        <v>D:\LiuTian\WorkSpace\Automation\2017\Panda\ES\Tools\Panda_ES_PA_Minibots\Tools\Database\Panda_ES_Task.accdb</v>
      </c>
      <c r="C1" s="3" t="s">
        <v>1</v>
      </c>
      <c r="E1" s="4" t="s">
        <v>2</v>
      </c>
      <c r="F1" s="5"/>
      <c r="G1" s="5"/>
      <c r="H1" s="5"/>
      <c r="I1" s="5"/>
      <c r="J1" s="5"/>
      <c r="K1" s="5"/>
      <c r="L1" s="5"/>
      <c r="M1" s="5"/>
      <c r="N1" s="6" t="s">
        <v>3</v>
      </c>
      <c r="O1" s="7"/>
      <c r="P1" s="7"/>
      <c r="Q1" s="7"/>
      <c r="R1" s="7"/>
      <c r="S1" s="6" t="s">
        <v>4</v>
      </c>
      <c r="T1" s="7"/>
      <c r="U1" s="7"/>
      <c r="V1" s="7"/>
      <c r="W1" s="7"/>
      <c r="X1" s="4" t="s">
        <v>5</v>
      </c>
      <c r="Y1" s="5"/>
      <c r="Z1" s="5"/>
      <c r="AA1" s="5"/>
      <c r="AB1" s="8"/>
    </row>
    <row r="2" spans="1:28" ht="14.25" customHeight="1" x14ac:dyDescent="0.25">
      <c r="A2" s="1" t="s">
        <v>6</v>
      </c>
      <c r="B2" t="s">
        <v>7</v>
      </c>
      <c r="C2" s="9" t="s">
        <v>8</v>
      </c>
      <c r="E2" s="10" t="s">
        <v>9</v>
      </c>
      <c r="F2" s="10" t="s">
        <v>10</v>
      </c>
      <c r="G2" s="10" t="s">
        <v>11</v>
      </c>
      <c r="H2" s="10" t="s">
        <v>12</v>
      </c>
      <c r="I2" s="10" t="s">
        <v>13</v>
      </c>
      <c r="J2" s="10" t="s">
        <v>14</v>
      </c>
      <c r="K2" s="10" t="s">
        <v>15</v>
      </c>
      <c r="L2" s="10" t="s">
        <v>16</v>
      </c>
      <c r="M2" s="10" t="s">
        <v>17</v>
      </c>
      <c r="N2" s="10" t="s">
        <v>18</v>
      </c>
      <c r="O2" s="10" t="s">
        <v>19</v>
      </c>
      <c r="P2" s="10" t="s">
        <v>20</v>
      </c>
      <c r="Q2" s="10" t="s">
        <v>21</v>
      </c>
      <c r="R2" s="10" t="s">
        <v>22</v>
      </c>
      <c r="S2" s="10" t="s">
        <v>18</v>
      </c>
      <c r="T2" s="10" t="s">
        <v>19</v>
      </c>
      <c r="U2" s="10" t="s">
        <v>20</v>
      </c>
      <c r="V2" s="10" t="s">
        <v>21</v>
      </c>
      <c r="W2" s="10" t="s">
        <v>22</v>
      </c>
      <c r="X2" s="10" t="s">
        <v>18</v>
      </c>
      <c r="Y2" s="10" t="s">
        <v>19</v>
      </c>
      <c r="Z2" s="10" t="s">
        <v>20</v>
      </c>
      <c r="AA2" s="10" t="s">
        <v>21</v>
      </c>
      <c r="AB2" s="10" t="s">
        <v>22</v>
      </c>
    </row>
    <row r="3" spans="1:28" ht="14.25" x14ac:dyDescent="0.2">
      <c r="C3" s="11" t="s">
        <v>23</v>
      </c>
      <c r="E3" s="2" t="s">
        <v>24</v>
      </c>
      <c r="F3" s="2" t="s">
        <v>25</v>
      </c>
      <c r="G3" s="2" t="s">
        <v>24</v>
      </c>
      <c r="H3" s="2">
        <v>8</v>
      </c>
      <c r="I3" s="2" t="s">
        <v>26</v>
      </c>
      <c r="J3" s="2">
        <v>1</v>
      </c>
      <c r="M3" s="12"/>
      <c r="S3" s="2">
        <v>1</v>
      </c>
      <c r="V3" s="2" t="s">
        <v>27</v>
      </c>
      <c r="X3" s="2">
        <v>1</v>
      </c>
      <c r="AA3" s="2" t="s">
        <v>28</v>
      </c>
    </row>
    <row r="4" spans="1:28" ht="12.75" x14ac:dyDescent="0.2">
      <c r="E4" s="2" t="s">
        <v>29</v>
      </c>
      <c r="F4" s="2" t="str">
        <f>E1&amp;".ReceivedDate"</f>
        <v>T_TaskTracker.ReceivedDate</v>
      </c>
      <c r="G4" s="2" t="s">
        <v>29</v>
      </c>
      <c r="H4" s="2">
        <v>12</v>
      </c>
      <c r="I4" s="2" t="s">
        <v>30</v>
      </c>
      <c r="K4" s="2">
        <v>50</v>
      </c>
      <c r="M4" s="13"/>
      <c r="N4" s="2">
        <v>1</v>
      </c>
      <c r="O4" s="2">
        <v>1</v>
      </c>
      <c r="P4" s="2">
        <v>1</v>
      </c>
      <c r="S4" s="2">
        <v>1</v>
      </c>
      <c r="T4" s="14"/>
      <c r="U4" s="14"/>
      <c r="V4" s="2" t="s">
        <v>31</v>
      </c>
      <c r="W4" s="2" t="s">
        <v>32</v>
      </c>
      <c r="X4" s="2">
        <v>1</v>
      </c>
      <c r="AA4" s="2" t="s">
        <v>31</v>
      </c>
      <c r="AB4" s="2" t="s">
        <v>32</v>
      </c>
    </row>
    <row r="5" spans="1:28" ht="12.75" x14ac:dyDescent="0.2">
      <c r="E5" s="15" t="s">
        <v>33</v>
      </c>
      <c r="F5" s="15" t="str">
        <f>E1&amp;".Deadline"</f>
        <v>T_TaskTracker.Deadline</v>
      </c>
      <c r="G5" s="15" t="s">
        <v>33</v>
      </c>
      <c r="H5" s="2">
        <v>12</v>
      </c>
      <c r="I5" s="2" t="s">
        <v>30</v>
      </c>
      <c r="M5" s="13"/>
      <c r="N5" s="2">
        <v>1</v>
      </c>
      <c r="O5" s="2">
        <v>1</v>
      </c>
      <c r="P5" s="2">
        <v>1</v>
      </c>
      <c r="S5" s="2">
        <v>1</v>
      </c>
      <c r="V5" s="2" t="s">
        <v>34</v>
      </c>
      <c r="X5" s="2">
        <v>1</v>
      </c>
      <c r="AA5" s="2" t="s">
        <v>34</v>
      </c>
    </row>
    <row r="6" spans="1:28" ht="12.75" x14ac:dyDescent="0.2">
      <c r="E6" t="s">
        <v>35</v>
      </c>
      <c r="F6"/>
      <c r="G6" t="s">
        <v>35</v>
      </c>
      <c r="H6" s="2">
        <v>10</v>
      </c>
      <c r="I6" s="2" t="s">
        <v>36</v>
      </c>
      <c r="K6" s="2">
        <v>50</v>
      </c>
      <c r="M6" s="12">
        <f ca="1">IF(OFFSET(M6,0,-2)&lt;&gt;"",NETWORKDAYS.INTL(OFFSET(M6,0,-2),NOW(),1),"")</f>
        <v>30580</v>
      </c>
      <c r="N6" s="2">
        <v>1</v>
      </c>
      <c r="S6" s="14">
        <v>1</v>
      </c>
      <c r="X6" s="14"/>
    </row>
    <row r="7" spans="1:28" ht="12.75" x14ac:dyDescent="0.2">
      <c r="E7" s="2" t="s">
        <v>37</v>
      </c>
      <c r="F7" s="2" t="str">
        <f>E1&amp;".TicketNo"</f>
        <v>T_TaskTracker.TicketNo</v>
      </c>
      <c r="G7" s="2" t="s">
        <v>37</v>
      </c>
      <c r="H7" s="2">
        <v>10</v>
      </c>
      <c r="I7" s="2" t="s">
        <v>36</v>
      </c>
      <c r="K7" s="2">
        <v>50</v>
      </c>
      <c r="M7" s="16"/>
      <c r="N7" s="2">
        <v>1</v>
      </c>
      <c r="O7" s="2">
        <v>1</v>
      </c>
      <c r="S7" s="2">
        <v>1</v>
      </c>
      <c r="T7" s="14"/>
      <c r="V7" s="2" t="s">
        <v>38</v>
      </c>
      <c r="X7" s="14">
        <v>1</v>
      </c>
      <c r="AA7" s="2" t="s">
        <v>38</v>
      </c>
    </row>
    <row r="8" spans="1:28" ht="13.5" customHeight="1" x14ac:dyDescent="0.2">
      <c r="E8" s="2" t="s">
        <v>39</v>
      </c>
      <c r="F8" s="2" t="str">
        <f>E1&amp;".CompanyCode"</f>
        <v>T_TaskTracker.CompanyCode</v>
      </c>
      <c r="G8" s="2" t="s">
        <v>39</v>
      </c>
      <c r="H8" s="2">
        <v>20</v>
      </c>
      <c r="I8" s="2" t="s">
        <v>36</v>
      </c>
      <c r="K8" s="2">
        <v>50</v>
      </c>
      <c r="M8" s="16"/>
      <c r="N8" s="2">
        <v>1</v>
      </c>
      <c r="O8" s="2">
        <v>1</v>
      </c>
      <c r="S8" s="2">
        <v>1</v>
      </c>
      <c r="T8" s="14">
        <v>1</v>
      </c>
      <c r="V8" s="2" t="s">
        <v>40</v>
      </c>
    </row>
    <row r="9" spans="1:28" ht="12.75" x14ac:dyDescent="0.2">
      <c r="E9" s="2" t="s">
        <v>41</v>
      </c>
      <c r="F9" s="2" t="str">
        <f>E1&amp;".PSA"</f>
        <v>T_TaskTracker.PSA</v>
      </c>
      <c r="G9" s="2" t="s">
        <v>41</v>
      </c>
      <c r="H9" s="2">
        <v>15</v>
      </c>
      <c r="I9" s="2" t="s">
        <v>36</v>
      </c>
      <c r="K9" s="2">
        <v>50</v>
      </c>
      <c r="M9" s="16"/>
      <c r="N9" s="2">
        <v>1</v>
      </c>
      <c r="O9" s="2">
        <v>1</v>
      </c>
      <c r="S9" s="2">
        <v>1</v>
      </c>
      <c r="T9" s="2">
        <v>1</v>
      </c>
      <c r="V9" s="2" t="s">
        <v>42</v>
      </c>
      <c r="X9" s="2">
        <v>1</v>
      </c>
    </row>
    <row r="10" spans="1:28" ht="13.5" customHeight="1" x14ac:dyDescent="0.2">
      <c r="E10" s="2" t="s">
        <v>43</v>
      </c>
      <c r="F10" s="2" t="str">
        <f>E1&amp;".Requestor"</f>
        <v>T_TaskTracker.Requestor</v>
      </c>
      <c r="G10" s="2" t="s">
        <v>43</v>
      </c>
      <c r="H10" s="2">
        <v>15</v>
      </c>
      <c r="I10" s="2" t="s">
        <v>36</v>
      </c>
      <c r="K10" s="2">
        <v>50</v>
      </c>
      <c r="M10" s="16"/>
      <c r="N10" s="2">
        <v>1</v>
      </c>
      <c r="O10" s="2">
        <v>1</v>
      </c>
      <c r="S10" s="2">
        <v>1</v>
      </c>
      <c r="T10" s="14">
        <v>1</v>
      </c>
    </row>
    <row r="11" spans="1:28" ht="13.5" customHeight="1" x14ac:dyDescent="0.2">
      <c r="E11" s="2" t="s">
        <v>44</v>
      </c>
      <c r="F11" s="2" t="str">
        <f>E1&amp;".Request"</f>
        <v>T_TaskTracker.Request</v>
      </c>
      <c r="G11" s="2" t="s">
        <v>44</v>
      </c>
      <c r="H11" s="2">
        <v>15</v>
      </c>
      <c r="I11" s="2" t="s">
        <v>36</v>
      </c>
      <c r="K11" s="2">
        <v>50</v>
      </c>
      <c r="M11" s="16"/>
      <c r="N11" s="2">
        <v>1</v>
      </c>
      <c r="O11" s="2">
        <v>1</v>
      </c>
      <c r="P11" s="14">
        <v>1</v>
      </c>
      <c r="S11" s="14">
        <v>1</v>
      </c>
      <c r="T11" s="14">
        <v>1</v>
      </c>
      <c r="U11" s="14"/>
      <c r="V11" s="2" t="s">
        <v>45</v>
      </c>
      <c r="X11" s="2">
        <v>1</v>
      </c>
      <c r="AA11" s="2" t="s">
        <v>45</v>
      </c>
    </row>
    <row r="12" spans="1:28" ht="13.5" customHeight="1" x14ac:dyDescent="0.2">
      <c r="E12" s="2" t="s">
        <v>46</v>
      </c>
      <c r="F12" s="2" t="str">
        <f>E1&amp;".GroupType"</f>
        <v>T_TaskTracker.GroupType</v>
      </c>
      <c r="G12" s="2" t="s">
        <v>46</v>
      </c>
      <c r="H12" s="2">
        <v>12</v>
      </c>
      <c r="I12" s="2" t="s">
        <v>36</v>
      </c>
      <c r="K12" s="2">
        <v>50</v>
      </c>
      <c r="M12" s="16"/>
      <c r="N12" s="2">
        <v>1</v>
      </c>
      <c r="O12" s="2">
        <v>1</v>
      </c>
      <c r="P12" s="2">
        <v>1</v>
      </c>
      <c r="S12" s="2">
        <v>1</v>
      </c>
      <c r="T12" s="2">
        <v>1</v>
      </c>
      <c r="V12" s="2" t="s">
        <v>47</v>
      </c>
      <c r="AA12" s="2" t="s">
        <v>47</v>
      </c>
    </row>
    <row r="13" spans="1:28" ht="12.75" x14ac:dyDescent="0.2">
      <c r="E13" s="2" t="s">
        <v>48</v>
      </c>
      <c r="F13" s="2" t="str">
        <f>E1&amp;".Process"</f>
        <v>T_TaskTracker.Process</v>
      </c>
      <c r="G13" s="2" t="s">
        <v>48</v>
      </c>
      <c r="H13" s="2">
        <v>12</v>
      </c>
      <c r="I13" s="2" t="s">
        <v>36</v>
      </c>
      <c r="K13" s="2">
        <v>50</v>
      </c>
      <c r="M13" s="16"/>
      <c r="N13" s="2">
        <v>1</v>
      </c>
      <c r="O13" s="2">
        <v>1</v>
      </c>
      <c r="P13" s="14"/>
      <c r="S13" s="2">
        <v>1</v>
      </c>
      <c r="T13" s="2">
        <v>1</v>
      </c>
      <c r="U13" s="2">
        <v>1</v>
      </c>
      <c r="V13" s="2" t="s">
        <v>49</v>
      </c>
      <c r="X13" s="2">
        <v>1</v>
      </c>
      <c r="AA13" s="2" t="s">
        <v>49</v>
      </c>
    </row>
    <row r="14" spans="1:28" ht="12.75" x14ac:dyDescent="0.2">
      <c r="E14" s="2" t="s">
        <v>50</v>
      </c>
      <c r="F14" s="2" t="str">
        <f>E1&amp;".ProcessType"</f>
        <v>T_TaskTracker.ProcessType</v>
      </c>
      <c r="G14" s="2" t="s">
        <v>51</v>
      </c>
      <c r="H14" s="2">
        <v>20</v>
      </c>
      <c r="I14" s="2" t="s">
        <v>36</v>
      </c>
      <c r="K14" s="2">
        <v>50</v>
      </c>
      <c r="M14" s="16"/>
      <c r="N14" s="2">
        <v>1</v>
      </c>
      <c r="O14" s="2">
        <v>1</v>
      </c>
      <c r="P14" s="14"/>
      <c r="S14" s="14">
        <v>1</v>
      </c>
      <c r="T14" s="14">
        <v>1</v>
      </c>
      <c r="U14" s="14">
        <v>1</v>
      </c>
      <c r="X14" s="2">
        <v>1</v>
      </c>
    </row>
    <row r="15" spans="1:28" ht="13.5" customHeight="1" x14ac:dyDescent="0.2">
      <c r="E15" s="2" t="s">
        <v>52</v>
      </c>
      <c r="F15" s="2" t="str">
        <f>E1&amp;".TaskOwner"</f>
        <v>T_TaskTracker.TaskOwner</v>
      </c>
      <c r="G15" s="2" t="s">
        <v>52</v>
      </c>
      <c r="H15" s="2">
        <v>15</v>
      </c>
      <c r="I15" s="2" t="s">
        <v>36</v>
      </c>
      <c r="K15" s="2">
        <v>50</v>
      </c>
      <c r="M15" s="16"/>
      <c r="N15" s="2">
        <v>1</v>
      </c>
      <c r="O15" s="2">
        <v>1</v>
      </c>
      <c r="S15" s="2">
        <v>1</v>
      </c>
      <c r="T15" s="2">
        <v>1</v>
      </c>
      <c r="U15" s="2">
        <v>1</v>
      </c>
      <c r="V15" s="2" t="s">
        <v>53</v>
      </c>
      <c r="X15" s="2">
        <v>1</v>
      </c>
      <c r="AA15" s="2" t="s">
        <v>53</v>
      </c>
    </row>
    <row r="16" spans="1:28" ht="12.75" x14ac:dyDescent="0.2">
      <c r="E16" s="2" t="s">
        <v>54</v>
      </c>
      <c r="F16" s="2" t="str">
        <f>E1&amp;".TaskStatus"</f>
        <v>T_TaskTracker.TaskStatus</v>
      </c>
      <c r="G16" s="2" t="s">
        <v>54</v>
      </c>
      <c r="H16" s="2">
        <v>8</v>
      </c>
      <c r="I16" s="2" t="s">
        <v>36</v>
      </c>
      <c r="K16" s="2">
        <v>50</v>
      </c>
      <c r="M16" s="16"/>
      <c r="N16" s="2">
        <v>1</v>
      </c>
      <c r="O16" s="2">
        <v>1</v>
      </c>
      <c r="P16" s="14">
        <v>1</v>
      </c>
      <c r="S16" s="2">
        <v>1</v>
      </c>
      <c r="T16" s="2">
        <v>1</v>
      </c>
      <c r="U16" s="2">
        <v>1</v>
      </c>
      <c r="V16" s="2" t="s">
        <v>55</v>
      </c>
      <c r="X16" s="2">
        <v>1</v>
      </c>
      <c r="AA16" s="2" t="s">
        <v>56</v>
      </c>
    </row>
    <row r="17" spans="5:37" ht="13.5" customHeight="1" x14ac:dyDescent="0.2">
      <c r="E17" s="2" t="s">
        <v>57</v>
      </c>
      <c r="F17" s="2" t="str">
        <f>E1&amp;".Comments"</f>
        <v>T_TaskTracker.Comments</v>
      </c>
      <c r="G17" s="2" t="s">
        <v>57</v>
      </c>
      <c r="H17" s="2">
        <v>20</v>
      </c>
      <c r="I17" s="2" t="s">
        <v>36</v>
      </c>
      <c r="J17"/>
      <c r="K17" s="2">
        <v>255</v>
      </c>
      <c r="M17" s="16"/>
      <c r="N17" s="2">
        <v>1</v>
      </c>
      <c r="O17" s="2">
        <v>1</v>
      </c>
      <c r="S17" s="2">
        <v>1</v>
      </c>
      <c r="T17" s="14">
        <v>1</v>
      </c>
      <c r="X17" s="2">
        <v>1</v>
      </c>
    </row>
    <row r="18" spans="5:37" ht="12.75" x14ac:dyDescent="0.2">
      <c r="E18" s="15" t="s">
        <v>58</v>
      </c>
      <c r="F18" s="15" t="str">
        <f>E1&amp;".QuantityProcessed"</f>
        <v>T_TaskTracker.QuantityProcessed</v>
      </c>
      <c r="G18" s="15" t="s">
        <v>59</v>
      </c>
      <c r="H18" s="2">
        <v>8</v>
      </c>
      <c r="I18" s="2" t="s">
        <v>26</v>
      </c>
      <c r="M18" s="12"/>
      <c r="S18" s="2">
        <v>1</v>
      </c>
      <c r="T18" s="14">
        <v>1</v>
      </c>
      <c r="U18" s="14"/>
      <c r="X18" s="2">
        <v>1</v>
      </c>
    </row>
    <row r="19" spans="5:37" ht="13.5" customHeight="1" x14ac:dyDescent="0.2">
      <c r="E19" s="15" t="s">
        <v>60</v>
      </c>
      <c r="F19" s="15" t="str">
        <f>"(SELECT COUNT(*) FROM [" &amp; [1]DBConfig_Case!$B$1 &amp; ";pwd=Automation@123].T_Newhire WHERE TaskID=T_TaskTracker.ID)"
&amp;"+(SELECT COUNT(*) FROM [" &amp;[1]DBConfig_Case!$B$1 &amp; ";pwd=Automation@123].T_Separation WHERE TaskID=T_TaskTracker.ID)"
&amp;"+(SELECT COUNT(*) FROM [" &amp; [1]DBConfig_Case!$B$1 &amp; ";pwd=Automation@123].T_OM WHERE TaskID=T_TaskTracker.ID)"
&amp;"+(SELECT COUNT(*) FROM [" &amp; [1]DBConfig_Case!$B$1 &amp; ";pwd=Automation@123].T_ContractMonitoring WHERE TaskID=T_TaskTracker.ID)"
&amp;"+(SELECT COUNT(*) FROM [" &amp; [1]DBConfig_Case!$B$1 &amp; ";pwd=Automation@123].T_ProbationMonitoring WHERE TaskID=T_TaskTracker.ID)"
&amp;"+(SELECT COUNT(*) FROM [" &amp; [1]DBConfig_Case!$B$1 &amp; ";pwd=Automation@123].T_Transfer WHERE TaskID=T_TaskTracker.ID)"
&amp;"+(SELECT COUNT(*) FROM [" &amp; [1]DBConfig_Case!$B$1 &amp; ";pwd=Automation@123].T_Training WHERE TaskID=T_TaskTracker.ID)"
&amp;"+(SELECT COUNT(*) FROM [" &amp; [1]DBConfig_Case!$B$1 &amp; ";pwd=Automation@123].T_LeaveQuota WHERE TaskID=T_TaskTracker.ID)"
&amp;"+(SELECT COUNT(*) FROM [" &amp; [1]DBConfig_Case!$B$1 &amp; ";pwd=Automation@123].T_Certificate WHERE TaskID=T_TaskTracker.ID)"
&amp;"+(SELECT COUNT(*) FROM [" &amp; [1]DBConfig_Case!$B$1 &amp; ";pwd=Automation@123].T_EDC WHERE TaskID=T_TaskTracker.ID)"
&amp;"+(SELECT COUNT(*) FROM [" &amp; [1]DBConfig_Case!$B$1 &amp; ";pwd=Automation@123].T_Reporting WHERE TaskID=T_TaskTracker.ID)"
&amp;"+(SELECT COUNT(*) FROM [" &amp; [1]DBConfig_Case!$B$1 &amp; ";pwd=Automation@123].T_Others WHERE TaskID=T_TaskTracker.ID)"</f>
        <v>(SELECT COUNT(*) FROM [D:\LiuTian\WorkSpace\Automation\2017\Panda\ES\Tools\Panda_ES_PA_Minibots\Tools\Database\PANDA_ES_PA_GROUPB.accdb;pwd=Automation@123].T_Newhire WHERE TaskID=T_TaskTracker.ID)+(SELECT COUNT(*) FROM [D:\LiuTian\WorkSpace\Automation\2017\Panda\ES\Tools\Panda_ES_PA_Minibots\Tools\Database\PANDA_ES_PA_GROUPB.accdb;pwd=Automation@123].T_Separation WHERE TaskID=T_TaskTracker.ID)+(SELECT COUNT(*) FROM [D:\LiuTian\WorkSpace\Automation\2017\Panda\ES\Tools\Panda_ES_PA_Minibots\Tools\Database\PANDA_ES_PA_GROUPB.accdb;pwd=Automation@123].T_OM WHERE TaskID=T_TaskTracker.ID)+(SELECT COUNT(*) FROM [D:\LiuTian\WorkSpace\Automation\2017\Panda\ES\Tools\Panda_ES_PA_Minibots\Tools\Database\PANDA_ES_PA_GROUPB.accdb;pwd=Automation@123].T_ContractMonitoring WHERE TaskID=T_TaskTracker.ID)+(SELECT COUNT(*) FROM [D:\LiuTian\WorkSpace\Automation\2017\Panda\ES\Tools\Panda_ES_PA_Minibots\Tools\Database\PANDA_ES_PA_GROUPB.accdb;pwd=Automation@123].T_ProbationMonitoring WHERE TaskID=T_TaskTracker.ID)+(SELECT COUNT(*) FROM [D:\LiuTian\WorkSpace\Automation\2017\Panda\ES\Tools\Panda_ES_PA_Minibots\Tools\Database\PANDA_ES_PA_GROUPB.accdb;pwd=Automation@123].T_Transfer WHERE TaskID=T_TaskTracker.ID)+(SELECT COUNT(*) FROM [D:\LiuTian\WorkSpace\Automation\2017\Panda\ES\Tools\Panda_ES_PA_Minibots\Tools\Database\PANDA_ES_PA_GROUPB.accdb;pwd=Automation@123].T_Training WHERE TaskID=T_TaskTracker.ID)+(SELECT COUNT(*) FROM [D:\LiuTian\WorkSpace\Automation\2017\Panda\ES\Tools\Panda_ES_PA_Minibots\Tools\Database\PANDA_ES_PA_GROUPB.accdb;pwd=Automation@123].T_LeaveQuota WHERE TaskID=T_TaskTracker.ID)+(SELECT COUNT(*) FROM [D:\LiuTian\WorkSpace\Automation\2017\Panda\ES\Tools\Panda_ES_PA_Minibots\Tools\Database\PANDA_ES_PA_GROUPB.accdb;pwd=Automation@123].T_Certificate WHERE TaskID=T_TaskTracker.ID)+(SELECT COUNT(*) FROM [D:\LiuTian\WorkSpace\Automation\2017\Panda\ES\Tools\Panda_ES_PA_Minibots\Tools\Database\PANDA_ES_PA_GROUPB.accdb;pwd=Automation@123].T_EDC WHERE TaskID=T_TaskTracker.ID)+(SELECT COUNT(*) FROM [D:\LiuTian\WorkSpace\Automation\2017\Panda\ES\Tools\Panda_ES_PA_Minibots\Tools\Database\PANDA_ES_PA_GROUPB.accdb;pwd=Automation@123].T_Reporting WHERE TaskID=T_TaskTracker.ID)+(SELECT COUNT(*) FROM [D:\LiuTian\WorkSpace\Automation\2017\Panda\ES\Tools\Panda_ES_PA_Minibots\Tools\Database\PANDA_ES_PA_GROUPB.accdb;pwd=Automation@123].T_Others WHERE TaskID=T_TaskTracker.ID)</v>
      </c>
      <c r="G19" s="15" t="s">
        <v>61</v>
      </c>
      <c r="H19" s="2">
        <v>8</v>
      </c>
      <c r="I19" s="2" t="s">
        <v>62</v>
      </c>
      <c r="L19" s="15"/>
      <c r="M19" s="12"/>
      <c r="S19" s="2">
        <v>1</v>
      </c>
      <c r="X19" s="2">
        <v>1</v>
      </c>
    </row>
    <row r="20" spans="5:37" ht="12.75" x14ac:dyDescent="0.2">
      <c r="E20" s="15" t="s">
        <v>63</v>
      </c>
      <c r="F20" s="15" t="str">
        <f>E1&amp;".QuantityNonProcessed"</f>
        <v>T_TaskTracker.QuantityNonProcessed</v>
      </c>
      <c r="G20" s="15" t="s">
        <v>64</v>
      </c>
      <c r="H20" s="2">
        <v>8</v>
      </c>
      <c r="I20" s="2" t="s">
        <v>26</v>
      </c>
      <c r="M20" s="12"/>
      <c r="S20" s="2">
        <v>1</v>
      </c>
      <c r="T20" s="14">
        <v>1</v>
      </c>
      <c r="U20" s="14"/>
      <c r="X20" s="2">
        <v>1</v>
      </c>
    </row>
    <row r="21" spans="5:37" ht="13.5" customHeight="1" x14ac:dyDescent="0.2">
      <c r="E21" s="17" t="s">
        <v>65</v>
      </c>
      <c r="F21" s="15" t="str">
        <f>"(SELECT COUNT(*) FROM [" &amp; [1]DBConfig_Case!$B$1 &amp; ";pwd=Automation@123].T_Newhire WHERE TaskID=T_TaskTracker.ID AND CaseStatus&lt;&gt;'Closed')"
&amp;"+(SELECT COUNT(*) FROM [" &amp;[1]DBConfig_Case!$B$1 &amp; ";pwd=Automation@123].T_Separation WHERE TaskID=T_TaskTracker.ID AND CaseStatus&lt;&gt;'Closed')"
&amp;"+(SELECT COUNT(*) FROM [" &amp; [1]DBConfig_Case!$B$1 &amp; ";pwd=Automation@123].T_OM WHERE TaskID=T_TaskTracker.ID AND CaseStatus&lt;&gt;'Closed')"
&amp;"+(SELECT COUNT(*) FROM [" &amp; [1]DBConfig_Case!$B$1 &amp; ";pwd=Automation@123].T_ContractMonitoring WHERE TaskID=T_TaskTracker.ID AND CaseStatus&lt;&gt;'Closed')"
&amp;"+(SELECT COUNT(*) FROM [" &amp; [1]DBConfig_Case!$B$1 &amp; ";pwd=Automation@123].T_ProbationMonitoring WHERE TaskID=T_TaskTracker.ID AND CaseStatus&lt;&gt;'Closed')"
&amp;"+(SELECT COUNT(*) FROM [" &amp; [1]DBConfig_Case!$B$1 &amp; ";pwd=Automation@123].T_Transfer WHERE TaskID=T_TaskTracker.ID AND CaseStatus&lt;&gt;'Closed')"
&amp;"+(SELECT COUNT(*) FROM [" &amp; [1]DBConfig_Case!$B$1 &amp; ";pwd=Automation@123].T_Training WHERE TaskID=T_TaskTracker.ID AND CaseStatus&lt;&gt;'Closed')"
&amp;"+(SELECT COUNT(*) FROM [" &amp; [1]DBConfig_Case!$B$1 &amp; ";pwd=Automation@123].T_LeaveQuota WHERE TaskID=T_TaskTracker.ID AND CaseStatus&lt;&gt;'Closed')"
&amp;"+(SELECT COUNT(*) FROM [" &amp; [1]DBConfig_Case!$B$1 &amp; ";pwd=Automation@123].T_Certificate WHERE TaskID=T_TaskTracker.ID AND CaseStatus&lt;&gt;'Closed')"
&amp;"+(SELECT COUNT(*) FROM [" &amp; [1]DBConfig_Case!$B$1 &amp; ";pwd=Automation@123].T_EDC WHERE TaskID=T_TaskTracker.ID AND CaseStatus&lt;&gt;'Closed')"
&amp;"+(SELECT COUNT(*) FROM [" &amp; [1]DBConfig_Case!$B$1 &amp; ";pwd=Automation@123].T_Reporting WHERE TaskID=T_TaskTracker.ID)"
&amp;"+(SELECT COUNT(*) FROM [" &amp; [1]DBConfig_Case!$B$1 &amp; ";pwd=Automation@123].T_Others WHERE TaskID=T_TaskTracker.ID)"</f>
        <v>(SELECT COUNT(*) FROM [D:\LiuTian\WorkSpace\Automation\2017\Panda\ES\Tools\Panda_ES_PA_Minibots\Tools\Database\PANDA_ES_PA_GROUPB.accdb;pwd=Automation@123].T_Newhire WHERE TaskID=T_TaskTracker.ID AND CaseStatus&lt;&gt;'Closed')+(SELECT COUNT(*) FROM [D:\LiuTian\WorkSpace\Automation\2017\Panda\ES\Tools\Panda_ES_PA_Minibots\Tools\Database\PANDA_ES_PA_GROUPB.accdb;pwd=Automation@123].T_Separation WHERE TaskID=T_TaskTracker.ID AND CaseStatus&lt;&gt;'Closed')+(SELECT COUNT(*) FROM [D:\LiuTian\WorkSpace\Automation\2017\Panda\ES\Tools\Panda_ES_PA_Minibots\Tools\Database\PANDA_ES_PA_GROUPB.accdb;pwd=Automation@123].T_OM WHERE TaskID=T_TaskTracker.ID AND CaseStatus&lt;&gt;'Closed')+(SELECT COUNT(*) FROM [D:\LiuTian\WorkSpace\Automation\2017\Panda\ES\Tools\Panda_ES_PA_Minibots\Tools\Database\PANDA_ES_PA_GROUPB.accdb;pwd=Automation@123].T_ContractMonitoring WHERE TaskID=T_TaskTracker.ID AND CaseStatus&lt;&gt;'Closed')+(SELECT COUNT(*) FROM [D:\LiuTian\WorkSpace\Automation\2017\Panda\ES\Tools\Panda_ES_PA_Minibots\Tools\Database\PANDA_ES_PA_GROUPB.accdb;pwd=Automation@123].T_ProbationMonitoring WHERE TaskID=T_TaskTracker.ID AND CaseStatus&lt;&gt;'Closed')+(SELECT COUNT(*) FROM [D:\LiuTian\WorkSpace\Automation\2017\Panda\ES\Tools\Panda_ES_PA_Minibots\Tools\Database\PANDA_ES_PA_GROUPB.accdb;pwd=Automation@123].T_Transfer WHERE TaskID=T_TaskTracker.ID AND CaseStatus&lt;&gt;'Closed')+(SELECT COUNT(*) FROM [D:\LiuTian\WorkSpace\Automation\2017\Panda\ES\Tools\Panda_ES_PA_Minibots\Tools\Database\PANDA_ES_PA_GROUPB.accdb;pwd=Automation@123].T_Training WHERE TaskID=T_TaskTracker.ID AND CaseStatus&lt;&gt;'Closed')+(SELECT COUNT(*) FROM [D:\LiuTian\WorkSpace\Automation\2017\Panda\ES\Tools\Panda_ES_PA_Minibots\Tools\Database\PANDA_ES_PA_GROUPB.accdb;pwd=Automation@123].T_LeaveQuota WHERE TaskID=T_TaskTracker.ID AND CaseStatus&lt;&gt;'Closed')+(SELECT COUNT(*) FROM [D:\LiuTian\WorkSpace\Automation\2017\Panda\ES\Tools\Panda_ES_PA_Minibots\Tools\Database\PANDA_ES_PA_GROUPB.accdb;pwd=Automation@123].T_Certificate WHERE TaskID=T_TaskTracker.ID AND CaseStatus&lt;&gt;'Closed')+(SELECT COUNT(*) FROM [D:\LiuTian\WorkSpace\Automation\2017\Panda\ES\Tools\Panda_ES_PA_Minibots\Tools\Database\PANDA_ES_PA_GROUPB.accdb;pwd=Automation@123].T_EDC WHERE TaskID=T_TaskTracker.ID AND CaseStatus&lt;&gt;'Closed')+(SELECT COUNT(*) FROM [D:\LiuTian\WorkSpace\Automation\2017\Panda\ES\Tools\Panda_ES_PA_Minibots\Tools\Database\PANDA_ES_PA_GROUPB.accdb;pwd=Automation@123].T_Reporting WHERE TaskID=T_TaskTracker.ID)+(SELECT COUNT(*) FROM [D:\LiuTian\WorkSpace\Automation\2017\Panda\ES\Tools\Panda_ES_PA_Minibots\Tools\Database\PANDA_ES_PA_GROUPB.accdb;pwd=Automation@123].T_Others WHERE TaskID=T_TaskTracker.ID)</v>
      </c>
      <c r="G21" s="17" t="s">
        <v>66</v>
      </c>
      <c r="H21" s="2">
        <v>8</v>
      </c>
      <c r="I21" s="2" t="s">
        <v>62</v>
      </c>
      <c r="L21" s="15"/>
      <c r="M21" s="12"/>
      <c r="S21" s="14">
        <v>1</v>
      </c>
      <c r="T21" s="14"/>
      <c r="X21" s="2">
        <v>1</v>
      </c>
    </row>
    <row r="22" spans="5:37" ht="13.5" customHeight="1" x14ac:dyDescent="0.2">
      <c r="E22" s="2" t="s">
        <v>67</v>
      </c>
      <c r="G22" s="2" t="s">
        <v>67</v>
      </c>
      <c r="H22" s="2">
        <v>15</v>
      </c>
      <c r="I22" s="2" t="s">
        <v>36</v>
      </c>
      <c r="K22" s="2">
        <v>50</v>
      </c>
      <c r="M22" s="16"/>
      <c r="S22" s="14">
        <v>1</v>
      </c>
      <c r="T22" s="14">
        <v>1</v>
      </c>
      <c r="X22" s="2">
        <v>1</v>
      </c>
      <c r="Y22" s="2">
        <v>1</v>
      </c>
      <c r="Z22" s="2">
        <v>1</v>
      </c>
    </row>
    <row r="23" spans="5:37" ht="13.5" customHeight="1" x14ac:dyDescent="0.2">
      <c r="E23" s="2" t="s">
        <v>68</v>
      </c>
      <c r="G23" s="2" t="s">
        <v>68</v>
      </c>
      <c r="H23" s="2">
        <v>8</v>
      </c>
      <c r="I23" s="2" t="s">
        <v>26</v>
      </c>
      <c r="M23" s="12"/>
      <c r="S23" s="14">
        <v>1</v>
      </c>
      <c r="T23" s="14">
        <v>1</v>
      </c>
      <c r="X23" s="2">
        <v>1</v>
      </c>
      <c r="Y23" s="2">
        <v>1</v>
      </c>
      <c r="Z23" s="2">
        <v>1</v>
      </c>
    </row>
    <row r="24" spans="5:37" ht="13.5" customHeight="1" x14ac:dyDescent="0.2">
      <c r="E24" s="2" t="s">
        <v>69</v>
      </c>
      <c r="G24" s="2" t="s">
        <v>69</v>
      </c>
      <c r="H24" s="2">
        <v>15</v>
      </c>
      <c r="I24" s="2" t="s">
        <v>36</v>
      </c>
      <c r="K24" s="2">
        <v>50</v>
      </c>
      <c r="M24" s="16"/>
      <c r="S24" s="14">
        <v>1</v>
      </c>
      <c r="T24" s="14">
        <v>1</v>
      </c>
      <c r="AK24" s="15"/>
    </row>
    <row r="25" spans="5:37" ht="13.5" customHeight="1" x14ac:dyDescent="0.2">
      <c r="E25" s="2" t="s">
        <v>70</v>
      </c>
      <c r="G25" s="2" t="s">
        <v>70</v>
      </c>
      <c r="H25" s="2">
        <v>8</v>
      </c>
      <c r="I25" s="2" t="s">
        <v>26</v>
      </c>
      <c r="M25" s="12"/>
      <c r="S25" s="14">
        <v>1</v>
      </c>
      <c r="T25" s="14">
        <v>1</v>
      </c>
      <c r="AK25" s="15"/>
    </row>
    <row r="26" spans="5:37" ht="13.5" customHeight="1" x14ac:dyDescent="0.2">
      <c r="E26" s="2" t="s">
        <v>71</v>
      </c>
      <c r="G26" s="2" t="s">
        <v>71</v>
      </c>
      <c r="H26" s="2">
        <v>15</v>
      </c>
      <c r="I26" s="2" t="s">
        <v>36</v>
      </c>
      <c r="K26" s="2">
        <v>50</v>
      </c>
      <c r="M26" s="16"/>
      <c r="S26" s="14">
        <v>1</v>
      </c>
      <c r="T26" s="14">
        <v>1</v>
      </c>
    </row>
    <row r="27" spans="5:37" ht="13.5" customHeight="1" x14ac:dyDescent="0.2">
      <c r="E27" s="2" t="s">
        <v>72</v>
      </c>
      <c r="G27" s="2" t="s">
        <v>72</v>
      </c>
      <c r="H27" s="2">
        <v>8</v>
      </c>
      <c r="I27" s="2" t="s">
        <v>26</v>
      </c>
      <c r="M27" s="12"/>
      <c r="S27" s="14">
        <v>1</v>
      </c>
      <c r="T27" s="14">
        <v>1</v>
      </c>
    </row>
    <row r="31" spans="5:37" ht="10.5" customHeight="1" x14ac:dyDescent="0.2"/>
  </sheetData>
  <dataValidations count="9">
    <dataValidation type="list" allowBlank="1" showInputMessage="1" showErrorMessage="1" sqref="M8">
      <formula1>INDIRECT("COMPANYCODE_LIST")</formula1>
    </dataValidation>
    <dataValidation type="list" allowBlank="1" showInputMessage="1" showErrorMessage="1" sqref="M14">
      <formula1>IF(OFFSET(M14,0,-1)&lt;&gt;"",INDIRECT("SUBPROCESS_LIST_"&amp;OFFSET(M14,0,-1)),INDIRECT("SUBPROCESS_LIST"))</formula1>
    </dataValidation>
    <dataValidation type="list" allowBlank="1" showInputMessage="1" showErrorMessage="1" sqref="M11">
      <formula1>INDIRECT("REQUEST_TYPE")</formula1>
    </dataValidation>
    <dataValidation type="list" allowBlank="1" showInputMessage="1" showErrorMessage="1" sqref="M22 M24 M26 M15">
      <formula1>INDIRECT("MEMBER_USER_LIST")</formula1>
    </dataValidation>
    <dataValidation type="list" allowBlank="1" showInputMessage="1" showErrorMessage="1" sqref="M9">
      <formula1>INDIRECT("PSA_LIST")</formula1>
    </dataValidation>
    <dataValidation type="list" allowBlank="1" showInputMessage="1" showErrorMessage="1" sqref="M16">
      <formula1>INDIRECT("Task_Status")</formula1>
    </dataValidation>
    <dataValidation type="list" allowBlank="1" showInputMessage="1" showErrorMessage="1" sqref="M13">
      <formula1>INDIRECT("PROCESS_LIST")</formula1>
    </dataValidation>
    <dataValidation type="date" operator="greaterThan" allowBlank="1" showInputMessage="1" showErrorMessage="1" sqref="M4:M5">
      <formula1>40179</formula1>
    </dataValidation>
    <dataValidation operator="greaterThan" allowBlank="1" showInputMessage="1" showErrorMessage="1" sqref="C1:C3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[1]Reference!#REF!</xm:f>
          </x14:formula1>
          <xm:sqref>M12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DBConfig_Task</vt:lpstr>
    </vt:vector>
  </TitlesOfParts>
  <Company>Accenture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Liu, Tian A.</dc:creator>
  <cp:lastModifiedBy>Liu, Tian A.</cp:lastModifiedBy>
  <dcterms:created xsi:type="dcterms:W3CDTF">2017-05-06T01:55:33Z</dcterms:created>
  <dcterms:modified xsi:type="dcterms:W3CDTF">2017-05-06T01:56:07Z</dcterms:modified>
</cp:coreProperties>
</file>